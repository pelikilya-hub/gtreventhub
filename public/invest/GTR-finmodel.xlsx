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ценка разработки" sheetId="1" state="visible" r:id="rId1"/>
    <sheet name="Финмодель 6 мес" sheetId="2" state="visible" r:id="rId2"/>
    <sheet name="Инвестиции 600k" sheetId="3" state="visible" r:id="rId3"/>
    <sheet name="Дорожная карт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#,##0;(#,##0);&quot;-&quot;"/>
    <numFmt numFmtId="166" formatCode="0.0%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color rgb="000000FF"/>
      <sz val="10"/>
    </font>
    <font>
      <name val="Arial"/>
      <sz val="10"/>
    </font>
    <font>
      <name val="Arial"/>
      <b val="1"/>
      <sz val="11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1F2440"/>
      </patternFill>
    </fill>
    <fill>
      <patternFill patternType="solid">
        <fgColor rgb="00F2F2F2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1" pivotButton="0" quotePrefix="0" xfId="0"/>
    <xf numFmtId="164" fontId="4" fillId="0" borderId="1" pivotButton="0" quotePrefix="0" xfId="0"/>
    <xf numFmtId="165" fontId="5" fillId="0" borderId="1" pivotButton="0" quotePrefix="0" xfId="0"/>
    <xf numFmtId="0" fontId="5" fillId="0" borderId="1" applyAlignment="1" pivotButton="0" quotePrefix="0" xfId="0">
      <alignment vertical="top" wrapText="1"/>
    </xf>
    <xf numFmtId="0" fontId="6" fillId="3" borderId="0" pivotButton="0" quotePrefix="0" xfId="0"/>
    <xf numFmtId="164" fontId="3" fillId="0" borderId="0" pivotButton="0" quotePrefix="0" xfId="0"/>
    <xf numFmtId="165" fontId="3" fillId="3" borderId="0" pivotButton="0" quotePrefix="0" xfId="0"/>
    <xf numFmtId="0" fontId="5" fillId="0" borderId="0" pivotButton="0" quotePrefix="0" xfId="0"/>
    <xf numFmtId="0" fontId="7" fillId="0" borderId="0" applyAlignment="1" pivotButton="0" quotePrefix="0" xfId="0">
      <alignment wrapText="1"/>
    </xf>
    <xf numFmtId="165" fontId="4" fillId="4" borderId="0" pivotButton="0" quotePrefix="0" xfId="0"/>
    <xf numFmtId="0" fontId="7" fillId="0" borderId="0" pivotButton="0" quotePrefix="0" xfId="0"/>
    <xf numFmtId="0" fontId="6" fillId="0" borderId="0" pivotButton="0" quotePrefix="0" xfId="0"/>
    <xf numFmtId="165" fontId="4" fillId="0" borderId="0" pivotButton="0" quotePrefix="0" xfId="0"/>
    <xf numFmtId="0" fontId="3" fillId="3" borderId="0" pivotButton="0" quotePrefix="0" xfId="0"/>
    <xf numFmtId="3" fontId="4" fillId="0" borderId="0" pivotButton="0" quotePrefix="0" xfId="0"/>
    <xf numFmtId="165" fontId="5" fillId="0" borderId="0" pivotButton="0" quotePrefix="0" xfId="0"/>
    <xf numFmtId="0" fontId="3" fillId="0" borderId="0" pivotButton="0" quotePrefix="0" xfId="0"/>
    <xf numFmtId="165" fontId="3" fillId="0" borderId="0" pivotButton="0" quotePrefix="0" xfId="0"/>
    <xf numFmtId="0" fontId="3" fillId="4" borderId="0" pivotButton="0" quotePrefix="0" xfId="0"/>
    <xf numFmtId="165" fontId="3" fillId="4" borderId="0" pivotButton="0" quotePrefix="0" xfId="0"/>
    <xf numFmtId="165" fontId="4" fillId="0" borderId="1" pivotButton="0" quotePrefix="0" xfId="0"/>
    <xf numFmtId="166" fontId="5" fillId="0" borderId="1" pivotButton="0" quotePrefix="0" xfId="0"/>
    <xf numFmtId="0" fontId="6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52" customWidth="1" min="5" max="5"/>
  </cols>
  <sheetData>
    <row r="1">
      <c r="A1" s="1" t="inlineStr">
        <is>
          <t>GTR Event · Оценка выполненной разработки</t>
        </is>
      </c>
    </row>
    <row r="3">
      <c r="A3" s="2" t="inlineStr">
        <is>
          <t>Модуль</t>
        </is>
      </c>
      <c r="B3" s="2" t="inlineStr">
        <is>
          <t>Чел-мес</t>
        </is>
      </c>
      <c r="C3" s="2" t="inlineStr">
        <is>
          <t>Ставка (THB/мес)</t>
        </is>
      </c>
      <c r="D3" s="2" t="inlineStr">
        <is>
          <t>Стоимость (THB)</t>
        </is>
      </c>
      <c r="E3" s="2" t="inlineStr">
        <is>
          <t>Что входит</t>
        </is>
      </c>
    </row>
    <row r="4">
      <c r="A4" s="3" t="inlineStr">
        <is>
          <t>Платформа и оболочка</t>
        </is>
      </c>
      <c r="B4" s="4" t="n">
        <v>2.5</v>
      </c>
      <c r="C4" s="5">
        <f>$B$16</f>
        <v>250000</v>
      </c>
      <c r="D4" s="5">
        <f>B4*C4</f>
        <v>625000.0</v>
      </c>
      <c r="E4" s="6" t="inlineStr">
        <is>
          <t>SSR-приложение на Cloudflare Workers, 20+ экранов, ролевая модель (7 ролей), PWA + Android (TWA), 3 языка (RU/EN/TH), дизайн-система</t>
        </is>
      </c>
    </row>
    <row r="5">
      <c r="A5" s="3" t="inlineStr">
        <is>
          <t>Конструктор событий</t>
        </is>
      </c>
      <c r="B5" s="4" t="n">
        <v>2</v>
      </c>
      <c r="C5" s="5">
        <f>$B$16</f>
        <v>250000</v>
      </c>
      <c r="D5" s="5">
        <f>B5*C5</f>
        <v>500000.0</v>
      </c>
      <c r="E5" s="6" t="inlineStr">
        <is>
          <t>Графовый движок события, сметы с провенансом цен, ветвящийся бриф, сравнение эконом/оптимум/премиум, печатные документы</t>
        </is>
      </c>
    </row>
    <row r="6">
      <c r="A6" s="3" t="inlineStr">
        <is>
          <t>Базы данных продукта</t>
        </is>
      </c>
      <c r="B6" s="4" t="n">
        <v>2</v>
      </c>
      <c r="C6" s="5">
        <f>$B$16</f>
        <v>250000</v>
      </c>
      <c r="D6" s="5">
        <f>B6*C6</f>
        <v>500000.0</v>
      </c>
      <c r="E6" s="6" t="inlineStr">
        <is>
          <t>110 паспортов площадок (звук по часам, прайсы, фото, логотипы), 312 артистов с жанрами, карта с районами по OSM, таксономия 262 жанров</t>
        </is>
      </c>
    </row>
    <row r="7">
      <c r="A7" s="3" t="inlineStr">
        <is>
          <t>Движок афиш</t>
        </is>
      </c>
      <c r="B7" s="4" t="n">
        <v>1.5</v>
      </c>
      <c r="C7" s="5">
        <f>$B$16</f>
        <v>250000</v>
      </c>
      <c r="D7" s="5">
        <f>B7*C7</f>
        <v>375000.0</v>
      </c>
      <c r="E7" s="6" t="inlineStr">
        <is>
          <t>Авторазведка событий по сайтам и соцсетям площадок кроном, генератор постеров в стиле площадки, календарь</t>
        </is>
      </c>
    </row>
    <row r="8">
      <c r="A8" s="3" t="inlineStr">
        <is>
          <t>GTR BRO — голосовой ИИ</t>
        </is>
      </c>
      <c r="B8" s="4" t="n">
        <v>2</v>
      </c>
      <c r="C8" s="5">
        <f>$B$16</f>
        <v>250000</v>
      </c>
      <c r="D8" s="5">
        <f>B8*C8</f>
        <v>500000.0</v>
      </c>
      <c r="E8" s="6" t="inlineStr">
        <is>
          <t>Голос (рация/свободный), текстовая командная строка, 11 инструментов платформы, граница подтверждений для действий, свой LLM-сервер</t>
        </is>
      </c>
    </row>
    <row r="9">
      <c r="A9" s="3" t="inlineStr">
        <is>
          <t>Telegram-экосистема</t>
        </is>
      </c>
      <c r="B9" s="4" t="n">
        <v>1.5</v>
      </c>
      <c r="C9" s="5">
        <f>$B$16</f>
        <v>250000</v>
      </c>
      <c r="D9" s="5">
        <f>B9*C9</f>
        <v>375000.0</v>
      </c>
      <c r="E9" s="6" t="inlineStr">
        <is>
          <t>Бот, канал+чат сообщества, рефералки и конкурс инвайтинга, автоотчёты, оповещения команды</t>
        </is>
      </c>
    </row>
    <row r="10">
      <c r="A10" s="3" t="inlineStr">
        <is>
          <t>Платежи и брони</t>
        </is>
      </c>
      <c r="B10" s="4" t="n">
        <v>0.5</v>
      </c>
      <c r="C10" s="5">
        <f>$B$16</f>
        <v>250000</v>
      </c>
      <c r="D10" s="5">
        <f>B10*C10</f>
        <v>125000.0</v>
      </c>
      <c r="E10" s="6" t="inlineStr">
        <is>
          <t>PromptPay QR, магик-ссылки подтверждения площадками, регламент броней</t>
        </is>
      </c>
    </row>
    <row r="11">
      <c r="A11" s="3" t="inlineStr">
        <is>
          <t>Инфраструктура</t>
        </is>
      </c>
      <c r="B11" s="4" t="n">
        <v>0.5</v>
      </c>
      <c r="C11" s="5">
        <f>$B$16</f>
        <v>250000</v>
      </c>
      <c r="D11" s="5">
        <f>B11*C11</f>
        <v>125000.0</v>
      </c>
      <c r="E11" s="6" t="inlineStr">
        <is>
          <t>Cloudflare Workers + KV, кроны, свой сервер с LLM, мониторинг</t>
        </is>
      </c>
    </row>
    <row r="12">
      <c r="A12" s="7" t="inlineStr">
        <is>
          <t>ИТОГО стоимость воспроизведения</t>
        </is>
      </c>
      <c r="B12" s="8">
        <f>SUM(B4:B11)</f>
        <v>12.5</v>
      </c>
      <c r="D12" s="9">
        <f>SUM(D4:D11)</f>
        <v>3125000.0</v>
      </c>
    </row>
    <row r="14">
      <c r="A14" s="10" t="inlineStr">
        <is>
          <t>Ставка сеньор-разработчика, агентство Бангкок (THB/чел-мес)</t>
        </is>
      </c>
    </row>
    <row r="15">
      <c r="A15" s="11" t="inlineStr">
        <is>
          <t>Допущение: 250 000 THB/мес — консервативная ставка сеньора full-stack в Таиланде (агентства котируют 300–400k). Источник: ввод владельца продукта, рыночные котировки Bangkok agencies 2026.</t>
        </is>
      </c>
    </row>
    <row r="16">
      <c r="B16" s="12" t="n">
        <v>250000</v>
      </c>
    </row>
    <row r="17">
      <c r="A17" s="13" t="inlineStr">
        <is>
          <t>Данные как актив (полевая работа, включена выше в «Базы данных»): контакты 110 площадок, 74 позиции каталога подрядчиков с ценами, жанровые профили артистов.</t>
        </is>
      </c>
    </row>
  </sheetData>
  <mergeCells count="2">
    <mergeCell ref="A15:E15"/>
    <mergeCell ref="A17:E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Финмодель на сезон (THB, вход инвестиции 600 000)</t>
        </is>
      </c>
    </row>
    <row r="3">
      <c r="A3" s="2" t="inlineStr">
        <is>
          <t>Показатель</t>
        </is>
      </c>
      <c r="B3" s="2" t="inlineStr">
        <is>
          <t>Сен 26</t>
        </is>
      </c>
      <c r="C3" s="2" t="inlineStr">
        <is>
          <t>Окт 26</t>
        </is>
      </c>
      <c r="D3" s="2" t="inlineStr">
        <is>
          <t>Ноя 26</t>
        </is>
      </c>
      <c r="E3" s="2" t="inlineStr">
        <is>
          <t>Дек 26</t>
        </is>
      </c>
      <c r="F3" s="2" t="inlineStr">
        <is>
          <t>Янв 27</t>
        </is>
      </c>
      <c r="G3" s="2" t="inlineStr">
        <is>
          <t>Фев 27</t>
        </is>
      </c>
    </row>
    <row r="4">
      <c r="A4" s="14" t="inlineStr">
        <is>
          <t>РАСХОДЫ</t>
        </is>
      </c>
    </row>
    <row r="5">
      <c r="A5" s="10" t="inlineStr">
        <is>
          <t>Контент-оператор (площадки, афиши)</t>
        </is>
      </c>
      <c r="B5" s="15" t="n">
        <v>25000</v>
      </c>
      <c r="C5" s="15" t="n">
        <v>25000</v>
      </c>
      <c r="D5" s="15" t="n">
        <v>25000</v>
      </c>
      <c r="E5" s="15" t="n">
        <v>25000</v>
      </c>
      <c r="F5" s="15" t="n">
        <v>25000</v>
      </c>
      <c r="G5" s="15" t="n">
        <v>25000</v>
      </c>
    </row>
    <row r="6">
      <c r="A6" s="10" t="inlineStr">
        <is>
          <t>Маркетинг (таргет IG/FB, гео Пхукет)</t>
        </is>
      </c>
      <c r="B6" s="15" t="n">
        <v>20000</v>
      </c>
      <c r="C6" s="15" t="n">
        <v>30000</v>
      </c>
      <c r="D6" s="15" t="n">
        <v>60000</v>
      </c>
      <c r="E6" s="15" t="n">
        <v>60000</v>
      </c>
      <c r="F6" s="15" t="n">
        <v>50000</v>
      </c>
      <c r="G6" s="15" t="n">
        <v>40000</v>
      </c>
    </row>
    <row r="7">
      <c r="A7" s="10" t="inlineStr">
        <is>
          <t>Промо-ивенты и коллабы с площадками</t>
        </is>
      </c>
      <c r="B7" s="15" t="n">
        <v>0</v>
      </c>
      <c r="C7" s="15" t="n">
        <v>15000</v>
      </c>
      <c r="D7" s="15" t="n">
        <v>20000</v>
      </c>
      <c r="E7" s="15" t="n">
        <v>25000</v>
      </c>
      <c r="F7" s="15" t="n">
        <v>25000</v>
      </c>
      <c r="G7" s="15" t="n">
        <v>15000</v>
      </c>
    </row>
    <row r="8">
      <c r="A8" s="10" t="inlineStr">
        <is>
          <t>Инфраструктура (серверы, домен, сервисы)</t>
        </is>
      </c>
      <c r="B8" s="15" t="n">
        <v>3000</v>
      </c>
      <c r="C8" s="15" t="n">
        <v>3000</v>
      </c>
      <c r="D8" s="15" t="n">
        <v>3000</v>
      </c>
      <c r="E8" s="15" t="n">
        <v>3000</v>
      </c>
      <c r="F8" s="15" t="n">
        <v>3000</v>
      </c>
      <c r="G8" s="15" t="n">
        <v>3000</v>
      </c>
    </row>
    <row r="9">
      <c r="A9" s="10" t="inlineStr">
        <is>
          <t>iOS-обёртка, магазины, мелкие подряды</t>
        </is>
      </c>
      <c r="B9" s="15" t="n">
        <v>15000</v>
      </c>
      <c r="C9" s="15" t="n">
        <v>10000</v>
      </c>
      <c r="D9" s="15" t="n">
        <v>5000</v>
      </c>
      <c r="E9" s="15" t="n">
        <v>0</v>
      </c>
      <c r="F9" s="15" t="n">
        <v>0</v>
      </c>
      <c r="G9" s="15" t="n">
        <v>0</v>
      </c>
    </row>
    <row r="10">
      <c r="A10" s="16" t="inlineStr">
        <is>
          <t>Итого расходы</t>
        </is>
      </c>
      <c r="B10" s="9">
        <f>SUM(B5:B9)</f>
        <v>63000</v>
      </c>
      <c r="C10" s="9">
        <f>SUM(C5:C9)</f>
        <v>83000</v>
      </c>
      <c r="D10" s="9">
        <f>SUM(D5:D9)</f>
        <v>113000</v>
      </c>
      <c r="E10" s="9">
        <f>SUM(E5:E9)</f>
        <v>113000</v>
      </c>
      <c r="F10" s="9">
        <f>SUM(F5:F9)</f>
        <v>103000</v>
      </c>
      <c r="G10" s="9">
        <f>SUM(G5:G9)</f>
        <v>83000</v>
      </c>
    </row>
    <row r="12">
      <c r="A12" s="14" t="inlineStr">
        <is>
          <t>ДОХОДЫ (консервативно)</t>
        </is>
      </c>
    </row>
    <row r="13">
      <c r="A13" s="10" t="inlineStr">
        <is>
          <t>Платные размещения площадок (шт.)</t>
        </is>
      </c>
      <c r="B13" s="17" t="n">
        <v>0</v>
      </c>
      <c r="C13" s="17" t="n">
        <v>0</v>
      </c>
      <c r="D13" s="17" t="n">
        <v>5</v>
      </c>
      <c r="E13" s="17" t="n">
        <v>12</v>
      </c>
      <c r="F13" s="17" t="n">
        <v>22</v>
      </c>
      <c r="G13" s="17" t="n">
        <v>30</v>
      </c>
    </row>
    <row r="14">
      <c r="A14" s="10" t="inlineStr">
        <is>
          <t>Тариф размещения (THB/мес)</t>
        </is>
      </c>
      <c r="B14" s="15" t="n">
        <v>3000</v>
      </c>
      <c r="C14" s="15" t="n">
        <v>3000</v>
      </c>
      <c r="D14" s="15" t="n">
        <v>3000</v>
      </c>
      <c r="E14" s="15" t="n">
        <v>3000</v>
      </c>
      <c r="F14" s="15" t="n">
        <v>3000</v>
      </c>
      <c r="G14" s="15" t="n">
        <v>3000</v>
      </c>
    </row>
    <row r="15">
      <c r="A15" s="10" t="inlineStr">
        <is>
          <t>Выручка с размещений</t>
        </is>
      </c>
      <c r="B15" s="18">
        <f>B13*B14</f>
        <v>0</v>
      </c>
      <c r="C15" s="18">
        <f>C13*C14</f>
        <v>0</v>
      </c>
      <c r="D15" s="18">
        <f>D13*D14</f>
        <v>15000</v>
      </c>
      <c r="E15" s="18">
        <f>E13*E14</f>
        <v>36000</v>
      </c>
      <c r="F15" s="18">
        <f>F13*F14</f>
        <v>66000</v>
      </c>
      <c r="G15" s="18">
        <f>G13*G14</f>
        <v>90000</v>
      </c>
    </row>
    <row r="16">
      <c r="A16" s="10" t="inlineStr">
        <is>
          <t>Промо-посты и афиши на заказ</t>
        </is>
      </c>
      <c r="B16" s="15" t="n">
        <v>0</v>
      </c>
      <c r="C16" s="15" t="n">
        <v>0</v>
      </c>
      <c r="D16" s="15" t="n">
        <v>10000</v>
      </c>
      <c r="E16" s="15" t="n">
        <v>20000</v>
      </c>
      <c r="F16" s="15" t="n">
        <v>30000</v>
      </c>
      <c r="G16" s="15" t="n">
        <v>30000</v>
      </c>
    </row>
    <row r="17">
      <c r="A17" s="10" t="inlineStr">
        <is>
          <t>Комиссия с броней вилл/столов (10%)</t>
        </is>
      </c>
      <c r="B17" s="15" t="n">
        <v>0</v>
      </c>
      <c r="C17" s="15" t="n">
        <v>0</v>
      </c>
      <c r="D17" s="15" t="n">
        <v>5000</v>
      </c>
      <c r="E17" s="15" t="n">
        <v>15000</v>
      </c>
      <c r="F17" s="15" t="n">
        <v>25000</v>
      </c>
      <c r="G17" s="15" t="n">
        <v>20000</v>
      </c>
    </row>
    <row r="18">
      <c r="A18" s="16" t="inlineStr">
        <is>
          <t>Итого доходы</t>
        </is>
      </c>
      <c r="B18" s="9">
        <f>B15+B16+B17</f>
        <v>0</v>
      </c>
      <c r="C18" s="9">
        <f>C15+C16+C17</f>
        <v>0</v>
      </c>
      <c r="D18" s="9">
        <f>D15+D16+D17</f>
        <v>30000</v>
      </c>
      <c r="E18" s="9">
        <f>E15+E16+E17</f>
        <v>71000</v>
      </c>
      <c r="F18" s="9">
        <f>F15+F16+F17</f>
        <v>121000</v>
      </c>
      <c r="G18" s="9">
        <f>G15+G16+G17</f>
        <v>140000</v>
      </c>
    </row>
    <row r="20">
      <c r="A20" s="19" t="inlineStr">
        <is>
          <t>Денежный поток за месяц</t>
        </is>
      </c>
      <c r="B20" s="20">
        <f>B18-B10</f>
        <v>-63000</v>
      </c>
      <c r="C20" s="20">
        <f>C18-C10</f>
        <v>-83000</v>
      </c>
      <c r="D20" s="20">
        <f>D18-D10</f>
        <v>-83000</v>
      </c>
      <c r="E20" s="20">
        <f>E18-E10</f>
        <v>-42000</v>
      </c>
      <c r="F20" s="20">
        <f>F18-F10</f>
        <v>18000</v>
      </c>
      <c r="G20" s="20">
        <f>G18-G10</f>
        <v>57000</v>
      </c>
    </row>
    <row r="21">
      <c r="A21" s="21" t="inlineStr">
        <is>
          <t>Остаток инвестиции на конец месяца</t>
        </is>
      </c>
      <c r="B21" s="22">
        <f>600000+B20</f>
        <v>537000</v>
      </c>
      <c r="C21" s="22">
        <f>B21+C20</f>
        <v>454000</v>
      </c>
      <c r="D21" s="22">
        <f>C21+D20</f>
        <v>371000</v>
      </c>
      <c r="E21" s="22">
        <f>D21+E20</f>
        <v>329000</v>
      </c>
      <c r="F21" s="22">
        <f>E21+F20</f>
        <v>347000</v>
      </c>
      <c r="G21" s="22">
        <f>F21+G20</f>
        <v>404000</v>
      </c>
    </row>
    <row r="23">
      <c r="A23" s="14" t="inlineStr">
        <is>
          <t>МЕТРИКИ (цели)</t>
        </is>
      </c>
    </row>
    <row r="24">
      <c r="A24" s="10" t="inlineStr">
        <is>
          <t>Установки приложения, накопительно</t>
        </is>
      </c>
      <c r="B24" s="17" t="n">
        <v>500</v>
      </c>
      <c r="C24" s="17" t="n">
        <v>1500</v>
      </c>
      <c r="D24" s="17" t="n">
        <v>4000</v>
      </c>
      <c r="E24" s="17" t="n">
        <v>7000</v>
      </c>
      <c r="F24" s="17" t="n">
        <v>10000</v>
      </c>
      <c r="G24" s="17" t="n">
        <v>13000</v>
      </c>
    </row>
    <row r="25">
      <c r="A25" s="10" t="inlineStr">
        <is>
          <t>Площадок с наполненной афишей</t>
        </is>
      </c>
      <c r="B25" s="17" t="n">
        <v>150</v>
      </c>
      <c r="C25" s="17" t="n">
        <v>200</v>
      </c>
      <c r="D25" s="17" t="n">
        <v>250</v>
      </c>
      <c r="E25" s="17" t="n">
        <v>280</v>
      </c>
      <c r="F25" s="17" t="n">
        <v>300</v>
      </c>
      <c r="G25" s="17" t="n">
        <v>320</v>
      </c>
    </row>
    <row r="27">
      <c r="A27" s="11" t="inlineStr">
        <is>
          <t>Все синие цифры — управляемые допущения (можно менять, модель пересчитается). Доходы консервативны: 30 платных площадок из 320 к февралю = проникновение 9%.</t>
        </is>
      </c>
    </row>
  </sheetData>
  <mergeCells count="1">
    <mergeCell ref="A27:G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2" customWidth="1" min="3" max="3"/>
    <col width="52" customWidth="1" min="4" max="4"/>
  </cols>
  <sheetData>
    <row r="1">
      <c r="A1" s="1" t="inlineStr">
        <is>
          <t>Использование инвестиции 600 000 THB</t>
        </is>
      </c>
    </row>
    <row r="3">
      <c r="A3" s="2" t="inlineStr">
        <is>
          <t>Статья</t>
        </is>
      </c>
      <c r="B3" s="2" t="inlineStr">
        <is>
          <t>Сумма (THB)</t>
        </is>
      </c>
      <c r="C3" s="2" t="inlineStr">
        <is>
          <t>Доля</t>
        </is>
      </c>
      <c r="D3" s="2" t="inlineStr">
        <is>
          <t>Зачем</t>
        </is>
      </c>
    </row>
    <row r="4">
      <c r="A4" s="3" t="inlineStr">
        <is>
          <t>Маркетинг запуска к сезону</t>
        </is>
      </c>
      <c r="B4" s="23" t="n">
        <v>260000</v>
      </c>
      <c r="C4" s="24">
        <f>B4/$B$10</f>
        <v>0.4333333333</v>
      </c>
      <c r="D4" s="6" t="inlineStr">
        <is>
          <t>Таргет IG/FB на туристов и экспатов гео-Пхукет, коллабы с артистами базы, QR-материалы на стойки площадок</t>
        </is>
      </c>
    </row>
    <row r="5">
      <c r="A5" s="3" t="inlineStr">
        <is>
          <t>Контент-операции (6 мес)</t>
        </is>
      </c>
      <c r="B5" s="23" t="n">
        <v>150000</v>
      </c>
      <c r="C5" s="24">
        <f>B5/$B$10</f>
        <v>0.25</v>
      </c>
      <c r="D5" s="6" t="inlineStr">
        <is>
          <t>Оператор наполнения: 20 площадок/день до полного покрытия, модерация афиш</t>
        </is>
      </c>
    </row>
    <row r="6">
      <c r="A6" s="3" t="inlineStr">
        <is>
          <t>Промо-ивенты с площадками</t>
        </is>
      </c>
      <c r="B6" s="23" t="n">
        <v>100000</v>
      </c>
      <c r="C6" s="24">
        <f>B6/$B$10</f>
        <v>0.1666666667</v>
      </c>
      <c r="D6" s="6" t="inlineStr">
        <is>
          <t>Совместные вечеринки под брендом GTR — живой трекшн и контент</t>
        </is>
      </c>
    </row>
    <row r="7">
      <c r="A7" s="3" t="inlineStr">
        <is>
          <t>iOS + магазины + домен</t>
        </is>
      </c>
      <c r="B7" s="23" t="n">
        <v>40000</v>
      </c>
      <c r="C7" s="24">
        <f>B7/$B$10</f>
        <v>0.0666666667</v>
      </c>
      <c r="D7" s="6" t="inlineStr">
        <is>
          <t>Выход в App Store, gtr.events, витринные материалы</t>
        </is>
      </c>
    </row>
    <row r="8">
      <c r="A8" s="3" t="inlineStr">
        <is>
          <t>Инфраструктура (12 мес)</t>
        </is>
      </c>
      <c r="B8" s="23" t="n">
        <v>20000</v>
      </c>
      <c r="C8" s="24">
        <f>B8/$B$10</f>
        <v>0.0333333333</v>
      </c>
      <c r="D8" s="6" t="inlineStr">
        <is>
          <t>Cloudflare + серверы + ИИ; операционка продукта ~1 100 THB/мес</t>
        </is>
      </c>
    </row>
    <row r="9">
      <c r="A9" s="3" t="inlineStr">
        <is>
          <t>Резерв</t>
        </is>
      </c>
      <c r="B9" s="23" t="n">
        <v>30000</v>
      </c>
      <c r="C9" s="24">
        <f>B9/$B$10</f>
        <v>0.05</v>
      </c>
      <c r="D9" s="6" t="inlineStr">
        <is>
          <t>Непредвиденное</t>
        </is>
      </c>
    </row>
    <row r="10">
      <c r="A10" s="14" t="inlineStr">
        <is>
          <t>ИТОГО</t>
        </is>
      </c>
      <c r="B10" s="9">
        <f>SUM(B4:B9)</f>
        <v>600000</v>
      </c>
    </row>
    <row r="12">
      <c r="A12" s="14" t="inlineStr">
        <is>
          <t>Условия: конвертируемый заём (SAFE), кэп 15–20 млн THB, дисконт 20%. Альтернатива: прямая доля не выше 5–7%.</t>
        </is>
      </c>
    </row>
  </sheetData>
  <mergeCells count="1">
    <mergeCell ref="A12:D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6" customWidth="1" min="3" max="3"/>
  </cols>
  <sheetData>
    <row r="1">
      <c r="A1" s="1" t="inlineStr">
        <is>
          <t>План раскачки к высокому сезону</t>
        </is>
      </c>
    </row>
    <row r="3">
      <c r="A3" s="2" t="inlineStr">
        <is>
          <t>Месяц</t>
        </is>
      </c>
      <c r="B3" s="2" t="inlineStr">
        <is>
          <t>Цель</t>
        </is>
      </c>
      <c r="C3" s="2" t="inlineStr">
        <is>
          <t>Инструменты (что уже построено и работает)</t>
        </is>
      </c>
    </row>
    <row r="4">
      <c r="A4" s="3" t="inlineStr">
        <is>
          <t>Сентябрь</t>
        </is>
      </c>
      <c r="B4" s="6" t="inlineStr">
        <is>
          <t>Полное покрытие контентом: 150+ площадок с живой афишей</t>
        </is>
      </c>
      <c r="C4" s="6" t="inlineStr">
        <is>
          <t>Движок авторазведки афиш (работает кроном каждые 2 часа) + контент-оператор; генератор постеров в стиле площадки</t>
        </is>
      </c>
    </row>
    <row r="5">
      <c r="A5" s="3" t="inlineStr">
        <is>
          <t>Октябрь</t>
        </is>
      </c>
      <c r="B5" s="6" t="inlineStr">
        <is>
          <t>Онбординг площадок: 200+, первые платные пилоты</t>
        </is>
      </c>
      <c r="C5" s="6" t="inlineStr">
        <is>
          <t>Магик-ссылки подтверждения (площадка сама заполняет прайс и фото за 2 минуты); Telegram-оповещения команды о заявках</t>
        </is>
      </c>
    </row>
    <row r="6">
      <c r="A6" s="3" t="inlineStr">
        <is>
          <t>Ноябрь</t>
        </is>
      </c>
      <c r="B6" s="6" t="inlineStr">
        <is>
          <t>Запуск сезона: 4 000 установок</t>
        </is>
      </c>
      <c r="C6" s="6" t="inlineStr">
        <is>
          <t>Конкурс инвайтинга в Telegram (рефералки с баллами — уже работает); таргет IG/FB; PWA-установка в 2 тапа с карусели</t>
        </is>
      </c>
    </row>
    <row r="7">
      <c r="A7" s="3" t="inlineStr">
        <is>
          <t>Декабрь</t>
        </is>
      </c>
      <c r="B7" s="6" t="inlineStr">
        <is>
          <t>Пик сезона: 7 000 установок, 12 платных площадок</t>
        </is>
      </c>
      <c r="C7" s="6" t="inlineStr">
        <is>
          <t>GTR BRO как вирусная фича («голосовой бро в кармане»); промо-ивенты с площадками; пуш-уведомления о вечеринках</t>
        </is>
      </c>
    </row>
    <row r="8">
      <c r="A8" s="3" t="inlineStr">
        <is>
          <t>Январь</t>
        </is>
      </c>
      <c r="B8" s="6" t="inlineStr">
        <is>
          <t>10 000 установок, 22 платные площадки</t>
        </is>
      </c>
      <c r="C8" s="6" t="inlineStr">
        <is>
          <t>ИИ-подбор артистов площадкам (уже работает — паспорта звука); комиссия с броней вилл (интеграция trip.com готова)</t>
        </is>
      </c>
    </row>
    <row r="9">
      <c r="A9" s="3" t="inlineStr">
        <is>
          <t>Февраль</t>
        </is>
      </c>
      <c r="B9" s="6" t="inlineStr">
        <is>
          <t>Run-rate ~140k THB/мес, подготовка seed</t>
        </is>
      </c>
      <c r="C9" s="6" t="inlineStr">
        <is>
          <t>Метрики в BOSS-дашборде; датасет BRO для дообучения собственной модели (копилка уже пишет)</t>
        </is>
      </c>
    </row>
    <row r="11">
      <c r="A11" s="25" t="inlineStr">
        <is>
          <t>Ключевое преимущество: рост почти не тратит инвестицию на разработку — платформа построена, операционка ~1 100 THB/мес, ИИ на бесплатных лимитах + собственном сервере.</t>
        </is>
      </c>
    </row>
  </sheetData>
  <mergeCells count="1">
    <mergeCell ref="A11:C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2026-08-17T01:17:54Z</dcterms:created>
  <dcterms:modified xsi:type="dcterms:W3CDTF">2026-08-17T01:17:54Z</dcterms:modified>
</cp:coreProperties>
</file>